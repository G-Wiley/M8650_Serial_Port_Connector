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88ee42248ca7e9c/Documents/PDP-8/Add-On Boards/M8650 Serial Port Connector/"/>
    </mc:Choice>
  </mc:AlternateContent>
  <xr:revisionPtr revIDLastSave="287" documentId="8_{291863AF-43BD-4773-AC18-7AD65028538B}" xr6:coauthVersionLast="47" xr6:coauthVersionMax="47" xr10:uidLastSave="{38BD72EA-E895-413C-968D-8553D597C66C}"/>
  <bookViews>
    <workbookView xWindow="790" yWindow="1680" windowWidth="34550" windowHeight="14360" tabRatio="621" xr2:uid="{00C607E4-F5CA-4B88-8F75-FEAFAF39518F}"/>
  </bookViews>
  <sheets>
    <sheet name="Bill of 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4" i="1" l="1"/>
  <c r="P23" i="1"/>
  <c r="O22" i="1"/>
  <c r="P22" i="1" s="1"/>
  <c r="O21" i="1"/>
  <c r="P21" i="1" s="1"/>
  <c r="O20" i="1"/>
  <c r="P20" i="1" s="1"/>
  <c r="Q19" i="1" s="1"/>
  <c r="O17" i="1"/>
  <c r="P17" i="1" s="1"/>
  <c r="O6" i="1"/>
  <c r="P6" i="1" s="1"/>
  <c r="O16" i="1"/>
  <c r="P16" i="1" s="1"/>
  <c r="O15" i="1"/>
  <c r="P15" i="1" s="1"/>
  <c r="Q14" i="1" s="1"/>
  <c r="P12" i="1"/>
  <c r="O9" i="1"/>
  <c r="O8" i="1"/>
  <c r="O7" i="1"/>
  <c r="O5" i="1"/>
  <c r="P5" i="1" s="1"/>
  <c r="O4" i="1"/>
  <c r="P7" i="1" l="1"/>
  <c r="P8" i="1" l="1"/>
  <c r="P11" i="1" l="1"/>
  <c r="P10" i="1"/>
  <c r="P4" i="1"/>
  <c r="P9" i="1"/>
  <c r="Q3" i="1" l="1"/>
</calcChain>
</file>

<file path=xl/sharedStrings.xml><?xml version="1.0" encoding="utf-8"?>
<sst xmlns="http://schemas.openxmlformats.org/spreadsheetml/2006/main" count="110" uniqueCount="44">
  <si>
    <t>Qty</t>
  </si>
  <si>
    <t>Description</t>
  </si>
  <si>
    <t>Supplier</t>
  </si>
  <si>
    <t>Manufacturer's part number</t>
  </si>
  <si>
    <t>cost ea</t>
  </si>
  <si>
    <t>ext cost</t>
  </si>
  <si>
    <t>Amazon</t>
  </si>
  <si>
    <t>Manufacturer</t>
  </si>
  <si>
    <t>Ver</t>
  </si>
  <si>
    <t>JLCPCB</t>
  </si>
  <si>
    <t>Link</t>
  </si>
  <si>
    <t>U1</t>
  </si>
  <si>
    <t>J1</t>
  </si>
  <si>
    <t>J3</t>
  </si>
  <si>
    <t>n/a</t>
  </si>
  <si>
    <t>C2</t>
  </si>
  <si>
    <t>General Purpose Configuration</t>
  </si>
  <si>
    <t>https://www.amazon.com/dp/B07VK75P9L</t>
  </si>
  <si>
    <t>Connector, Dual Row 2x20, socket, right angle</t>
  </si>
  <si>
    <t>PCB, M8650 Serial Port Connector Board</t>
  </si>
  <si>
    <t>v01</t>
  </si>
  <si>
    <t>J2</t>
  </si>
  <si>
    <t>Connector, Header, Single Row 1x4</t>
  </si>
  <si>
    <t>Connector, Header, Single Row 1x3</t>
  </si>
  <si>
    <t>J4, J5</t>
  </si>
  <si>
    <t>Connector, Header, Single Row 1x6</t>
  </si>
  <si>
    <t>IC, RS-232 Receiver, MC1489A</t>
  </si>
  <si>
    <t>Capacitor, Ceramic X7R, 0.1 UF 50V</t>
  </si>
  <si>
    <t>Vishay</t>
  </si>
  <si>
    <t>K104K10X7RF53L2</t>
  </si>
  <si>
    <t>https://www.digikey.com/en/products/detail/vishay-beyschlag-draloric-bc-components/K104K10X7RF53L2/2820500</t>
  </si>
  <si>
    <t>https://www.amazon.com/Straight-Breakaway-Connector-Breadboard-Electronic/dp/B0FRZW75VS</t>
  </si>
  <si>
    <t>Jameco</t>
  </si>
  <si>
    <t>MC1489A/SN75189N</t>
  </si>
  <si>
    <t>OnSemi/TI</t>
  </si>
  <si>
    <t>https://www.jameco.com/webapp/wcs/stores/servlet/ProductDisplay?storeId=10001&amp;langId=-1&amp;catalogId=10001&amp;productId=23181</t>
  </si>
  <si>
    <t>Jumper Cap, 2-pin</t>
  </si>
  <si>
    <t>https://www.amazon.com/dp/B07FKKHHM7</t>
  </si>
  <si>
    <t>Digikey/Jameco</t>
  </si>
  <si>
    <t>AliExpress</t>
  </si>
  <si>
    <t>https://www.aliexpress.us/item/3256805557045362.html</t>
  </si>
  <si>
    <t>2x20 Pin</t>
  </si>
  <si>
    <t>Single-Interface-Only Configuration (RS-232 or Teletype)</t>
  </si>
  <si>
    <t>Single-Interface-Only Configuration (TTL USB)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</si>
</sst>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</fills>
  <borders count="2">
    <border>
      <left/>
      <right/>
      <top/>
      <bottom/>
      <diagonal/>
    </border>
    <border>
      <left/>
      <right style="thick">
        <color auto="1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/>
    <xf numFmtId="0" fontId="2" fillId="0" borderId="0" xfId="1"/>
    <xf numFmtId="164" fontId="1" fillId="0" borderId="0" xfId="0" applyNumberFormat="1" applyFont="1" applyAlignment="1">
      <alignment horizontal="center"/>
    </xf>
    <xf numFmtId="0" fontId="0" fillId="0" borderId="1" xfId="0" applyBorder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2" borderId="0" xfId="0" applyFont="1" applyFill="1"/>
    <xf numFmtId="0" fontId="0" fillId="2" borderId="0" xfId="0" applyFill="1" applyAlignment="1">
      <alignment horizontal="center"/>
    </xf>
    <xf numFmtId="0" fontId="0" fillId="2" borderId="0" xfId="0" applyFill="1" applyAlignment="1">
      <alignment horizontal="left"/>
    </xf>
    <xf numFmtId="0" fontId="0" fillId="2" borderId="0" xfId="0" applyFill="1"/>
    <xf numFmtId="164" fontId="0" fillId="2" borderId="0" xfId="0" applyNumberFormat="1" applyFill="1"/>
    <xf numFmtId="164" fontId="0" fillId="2" borderId="1" xfId="0" applyNumberForma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dp/B07VK75P9L" TargetMode="External"/><Relationship Id="rId13" Type="http://schemas.openxmlformats.org/officeDocument/2006/relationships/hyperlink" Target="https://www.jameco.com/webapp/wcs/stores/servlet/ProductDisplay?storeId=10001&amp;langId=-1&amp;catalogId=10001&amp;productId=23181" TargetMode="External"/><Relationship Id="rId3" Type="http://schemas.openxmlformats.org/officeDocument/2006/relationships/hyperlink" Target="https://www.amazon.com/Straight-Breakaway-Connector-Breadboard-Electronic/dp/B0FRZW75VS" TargetMode="External"/><Relationship Id="rId7" Type="http://schemas.openxmlformats.org/officeDocument/2006/relationships/hyperlink" Target="https://www.amazon.com/dp/B07FKKHHM7" TargetMode="External"/><Relationship Id="rId12" Type="http://schemas.openxmlformats.org/officeDocument/2006/relationships/hyperlink" Target="https://www.digikey.com/en/products/detail/vishay-beyschlag-draloric-bc-components/K104K10X7RF53L2/2820500" TargetMode="External"/><Relationship Id="rId2" Type="http://schemas.openxmlformats.org/officeDocument/2006/relationships/hyperlink" Target="https://www.digikey.com/en/products/detail/vishay-beyschlag-draloric-bc-components/K104K10X7RF53L2/2820500" TargetMode="External"/><Relationship Id="rId1" Type="http://schemas.openxmlformats.org/officeDocument/2006/relationships/hyperlink" Target="https://www.amazon.com/dp/B07VK75P9L" TargetMode="External"/><Relationship Id="rId6" Type="http://schemas.openxmlformats.org/officeDocument/2006/relationships/hyperlink" Target="https://www.jameco.com/webapp/wcs/stores/servlet/ProductDisplay?storeId=10001&amp;langId=-1&amp;catalogId=10001&amp;productId=23181" TargetMode="External"/><Relationship Id="rId11" Type="http://schemas.openxmlformats.org/officeDocument/2006/relationships/hyperlink" Target="https://www.amazon.com/dp/B07VK75P9L" TargetMode="External"/><Relationship Id="rId5" Type="http://schemas.openxmlformats.org/officeDocument/2006/relationships/hyperlink" Target="https://www.amazon.com/Straight-Breakaway-Connector-Breadboard-Electronic/dp/B0FRZW75VS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www.aliexpress.us/item/3256805557045362.html" TargetMode="External"/><Relationship Id="rId4" Type="http://schemas.openxmlformats.org/officeDocument/2006/relationships/hyperlink" Target="https://www.amazon.com/Straight-Breakaway-Connector-Breadboard-Electronic/dp/B0FRZW75VS" TargetMode="External"/><Relationship Id="rId9" Type="http://schemas.openxmlformats.org/officeDocument/2006/relationships/hyperlink" Target="https://www.aliexpress.us/item/3256805557045362.html" TargetMode="External"/><Relationship Id="rId14" Type="http://schemas.openxmlformats.org/officeDocument/2006/relationships/hyperlink" Target="https://www.aliexpress.us/item/325680555704536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35690-F76C-4733-9A59-A1D3B764B504}">
  <sheetPr>
    <pageSetUpPr fitToPage="1"/>
  </sheetPr>
  <dimension ref="A1:Q24"/>
  <sheetViews>
    <sheetView tabSelected="1" zoomScale="90" zoomScaleNormal="90" workbookViewId="0">
      <selection activeCell="Q3" sqref="Q3"/>
    </sheetView>
  </sheetViews>
  <sheetFormatPr defaultRowHeight="14.5" x14ac:dyDescent="0.35"/>
  <cols>
    <col min="1" max="1" width="6.6328125" style="1" customWidth="1"/>
    <col min="2" max="4" width="4.54296875" style="1" customWidth="1"/>
    <col min="5" max="5" width="2.54296875" style="1" customWidth="1"/>
    <col min="6" max="6" width="5.54296875" style="2" customWidth="1"/>
    <col min="7" max="7" width="14.6328125" style="9" customWidth="1"/>
    <col min="8" max="8" width="61.54296875" bestFit="1" customWidth="1"/>
    <col min="9" max="9" width="4.54296875" customWidth="1"/>
    <col min="10" max="10" width="19.1796875" customWidth="1"/>
    <col min="11" max="11" width="25.54296875" customWidth="1"/>
    <col min="12" max="12" width="15.54296875" customWidth="1"/>
    <col min="13" max="13" width="87.453125" customWidth="1"/>
    <col min="14" max="14" width="1.90625" bestFit="1" customWidth="1"/>
    <col min="15" max="15" width="9.54296875" style="4" customWidth="1"/>
    <col min="16" max="17" width="9.54296875" customWidth="1"/>
    <col min="19" max="19" width="9.7265625" bestFit="1" customWidth="1"/>
    <col min="21" max="21" width="11.1796875" bestFit="1" customWidth="1"/>
    <col min="22" max="23" width="11.6328125" bestFit="1" customWidth="1"/>
  </cols>
  <sheetData>
    <row r="1" spans="2:17" x14ac:dyDescent="0.35">
      <c r="F1" s="3" t="s">
        <v>0</v>
      </c>
      <c r="G1" s="10"/>
      <c r="H1" s="1" t="s">
        <v>1</v>
      </c>
      <c r="I1" s="1" t="s">
        <v>8</v>
      </c>
      <c r="J1" s="1" t="s">
        <v>7</v>
      </c>
      <c r="K1" s="1" t="s">
        <v>3</v>
      </c>
      <c r="L1" s="1" t="s">
        <v>2</v>
      </c>
      <c r="M1" s="1" t="s">
        <v>10</v>
      </c>
      <c r="N1" s="1"/>
      <c r="O1" s="6" t="s">
        <v>4</v>
      </c>
      <c r="P1" s="3" t="s">
        <v>5</v>
      </c>
    </row>
    <row r="2" spans="2:17" x14ac:dyDescent="0.35">
      <c r="P2" s="8"/>
      <c r="Q2" s="4"/>
    </row>
    <row r="3" spans="2:17" x14ac:dyDescent="0.35">
      <c r="B3" s="11" t="s">
        <v>16</v>
      </c>
      <c r="C3" s="11"/>
      <c r="D3" s="11"/>
      <c r="E3" s="11"/>
      <c r="F3" s="12"/>
      <c r="G3" s="13"/>
      <c r="H3" s="14"/>
      <c r="I3" s="14"/>
      <c r="J3" s="14"/>
      <c r="K3" s="14"/>
      <c r="L3" s="14"/>
      <c r="M3" s="14"/>
      <c r="N3" s="14"/>
      <c r="O3" s="15"/>
      <c r="P3" s="14"/>
      <c r="Q3" s="16">
        <f>SUM(P3:P13)</f>
        <v>2.6398124999999997</v>
      </c>
    </row>
    <row r="4" spans="2:17" x14ac:dyDescent="0.35">
      <c r="F4" s="2">
        <v>1</v>
      </c>
      <c r="H4" t="s">
        <v>19</v>
      </c>
      <c r="I4" t="s">
        <v>20</v>
      </c>
      <c r="J4" t="s">
        <v>9</v>
      </c>
      <c r="K4" t="s">
        <v>14</v>
      </c>
      <c r="L4" t="s">
        <v>9</v>
      </c>
      <c r="M4" s="5"/>
      <c r="O4" s="4">
        <f>12.57/15</f>
        <v>0.83799999999999997</v>
      </c>
      <c r="P4" s="4">
        <f t="shared" ref="P4:P12" si="0">F4*O4</f>
        <v>0.83799999999999997</v>
      </c>
      <c r="Q4" s="7"/>
    </row>
    <row r="5" spans="2:17" x14ac:dyDescent="0.35">
      <c r="F5" s="2">
        <v>0</v>
      </c>
      <c r="G5" s="9" t="s">
        <v>12</v>
      </c>
      <c r="H5" t="s">
        <v>18</v>
      </c>
      <c r="J5" t="s">
        <v>14</v>
      </c>
      <c r="K5" t="s">
        <v>14</v>
      </c>
      <c r="L5" t="s">
        <v>6</v>
      </c>
      <c r="M5" s="5" t="s">
        <v>17</v>
      </c>
      <c r="O5" s="4">
        <f>11.57/3</f>
        <v>3.8566666666666669</v>
      </c>
      <c r="P5" s="4">
        <f t="shared" si="0"/>
        <v>0</v>
      </c>
      <c r="Q5" s="7"/>
    </row>
    <row r="6" spans="2:17" x14ac:dyDescent="0.35">
      <c r="F6" s="2">
        <v>1</v>
      </c>
      <c r="G6" s="9" t="s">
        <v>12</v>
      </c>
      <c r="H6" t="s">
        <v>18</v>
      </c>
      <c r="J6" t="s">
        <v>14</v>
      </c>
      <c r="K6" t="s">
        <v>41</v>
      </c>
      <c r="L6" t="s">
        <v>39</v>
      </c>
      <c r="M6" s="5" t="s">
        <v>40</v>
      </c>
      <c r="O6" s="4">
        <f>4.01/10</f>
        <v>0.40099999999999997</v>
      </c>
      <c r="P6" s="4">
        <f t="shared" ref="P6" si="1">F6*O6</f>
        <v>0.40099999999999997</v>
      </c>
      <c r="Q6" s="7"/>
    </row>
    <row r="7" spans="2:17" x14ac:dyDescent="0.35">
      <c r="F7" s="2">
        <v>1</v>
      </c>
      <c r="G7" s="9" t="s">
        <v>21</v>
      </c>
      <c r="H7" t="s">
        <v>22</v>
      </c>
      <c r="J7" t="s">
        <v>14</v>
      </c>
      <c r="K7" t="s">
        <v>14</v>
      </c>
      <c r="L7" t="s">
        <v>6</v>
      </c>
      <c r="M7" s="5" t="s">
        <v>31</v>
      </c>
      <c r="O7" s="4">
        <f>4*6.35/800</f>
        <v>3.175E-2</v>
      </c>
      <c r="P7" s="4">
        <f t="shared" si="0"/>
        <v>3.175E-2</v>
      </c>
      <c r="Q7" s="7"/>
    </row>
    <row r="8" spans="2:17" x14ac:dyDescent="0.35">
      <c r="F8" s="2">
        <v>1</v>
      </c>
      <c r="G8" s="9" t="s">
        <v>13</v>
      </c>
      <c r="H8" t="s">
        <v>23</v>
      </c>
      <c r="J8" t="s">
        <v>14</v>
      </c>
      <c r="K8" t="s">
        <v>14</v>
      </c>
      <c r="L8" t="s">
        <v>6</v>
      </c>
      <c r="M8" s="5" t="s">
        <v>31</v>
      </c>
      <c r="O8" s="4">
        <f>3*6.35/800</f>
        <v>2.3812499999999997E-2</v>
      </c>
      <c r="P8" s="4">
        <f t="shared" si="0"/>
        <v>2.3812499999999997E-2</v>
      </c>
      <c r="Q8" s="7"/>
    </row>
    <row r="9" spans="2:17" x14ac:dyDescent="0.35">
      <c r="F9" s="2">
        <v>2</v>
      </c>
      <c r="G9" s="9" t="s">
        <v>24</v>
      </c>
      <c r="H9" t="s">
        <v>25</v>
      </c>
      <c r="J9" t="s">
        <v>14</v>
      </c>
      <c r="K9" t="s">
        <v>14</v>
      </c>
      <c r="L9" t="s">
        <v>6</v>
      </c>
      <c r="M9" s="5" t="s">
        <v>31</v>
      </c>
      <c r="O9" s="4">
        <f>6*6.35/800</f>
        <v>4.7624999999999994E-2</v>
      </c>
      <c r="P9" s="4">
        <f t="shared" si="0"/>
        <v>9.5249999999999987E-2</v>
      </c>
      <c r="Q9" s="7"/>
    </row>
    <row r="10" spans="2:17" x14ac:dyDescent="0.35">
      <c r="F10" s="2">
        <v>1</v>
      </c>
      <c r="G10" s="9" t="s">
        <v>11</v>
      </c>
      <c r="H10" t="s">
        <v>26</v>
      </c>
      <c r="J10" t="s">
        <v>34</v>
      </c>
      <c r="K10" t="s">
        <v>33</v>
      </c>
      <c r="L10" t="s">
        <v>32</v>
      </c>
      <c r="M10" s="5" t="s">
        <v>35</v>
      </c>
      <c r="O10" s="4">
        <v>1</v>
      </c>
      <c r="P10" s="4">
        <f t="shared" si="0"/>
        <v>1</v>
      </c>
      <c r="Q10" s="7"/>
    </row>
    <row r="11" spans="2:17" x14ac:dyDescent="0.35">
      <c r="F11" s="2">
        <v>1</v>
      </c>
      <c r="G11" s="9" t="s">
        <v>15</v>
      </c>
      <c r="H11" t="s">
        <v>27</v>
      </c>
      <c r="J11" t="s">
        <v>28</v>
      </c>
      <c r="K11" t="s">
        <v>29</v>
      </c>
      <c r="L11" t="s">
        <v>38</v>
      </c>
      <c r="M11" s="5" t="s">
        <v>30</v>
      </c>
      <c r="O11" s="4">
        <v>0.25</v>
      </c>
      <c r="P11" s="4">
        <f t="shared" si="0"/>
        <v>0.25</v>
      </c>
      <c r="Q11" s="7"/>
    </row>
    <row r="12" spans="2:17" x14ac:dyDescent="0.35">
      <c r="F12" s="2">
        <v>1</v>
      </c>
      <c r="H12" t="s">
        <v>36</v>
      </c>
      <c r="J12" t="s">
        <v>14</v>
      </c>
      <c r="K12" t="s">
        <v>14</v>
      </c>
      <c r="L12" t="s">
        <v>6</v>
      </c>
      <c r="M12" s="5" t="s">
        <v>37</v>
      </c>
      <c r="O12" s="4">
        <v>0</v>
      </c>
      <c r="P12" s="4">
        <f t="shared" si="0"/>
        <v>0</v>
      </c>
      <c r="Q12" s="7"/>
    </row>
    <row r="13" spans="2:17" x14ac:dyDescent="0.35">
      <c r="Q13" s="7"/>
    </row>
    <row r="14" spans="2:17" x14ac:dyDescent="0.35">
      <c r="B14" s="11" t="s">
        <v>42</v>
      </c>
      <c r="C14" s="11"/>
      <c r="D14" s="11"/>
      <c r="E14" s="11"/>
      <c r="F14" s="12"/>
      <c r="G14" s="13"/>
      <c r="H14" s="14"/>
      <c r="I14" s="14"/>
      <c r="J14" s="14"/>
      <c r="K14" s="14"/>
      <c r="L14" s="14"/>
      <c r="M14" s="14"/>
      <c r="N14" s="14"/>
      <c r="O14" s="15"/>
      <c r="P14" s="14"/>
      <c r="Q14" s="16">
        <f>SUM(P14:P18)</f>
        <v>1.2389999999999999</v>
      </c>
    </row>
    <row r="15" spans="2:17" x14ac:dyDescent="0.35">
      <c r="F15" s="2">
        <v>1</v>
      </c>
      <c r="H15" t="s">
        <v>19</v>
      </c>
      <c r="I15" t="s">
        <v>20</v>
      </c>
      <c r="J15" t="s">
        <v>9</v>
      </c>
      <c r="K15" t="s">
        <v>14</v>
      </c>
      <c r="L15" t="s">
        <v>9</v>
      </c>
      <c r="M15" s="5"/>
      <c r="O15" s="4">
        <f>12.57/15</f>
        <v>0.83799999999999997</v>
      </c>
      <c r="P15" s="4">
        <f>F15*O15</f>
        <v>0.83799999999999997</v>
      </c>
      <c r="Q15" s="7"/>
    </row>
    <row r="16" spans="2:17" x14ac:dyDescent="0.35">
      <c r="F16" s="2">
        <v>0</v>
      </c>
      <c r="G16" s="9" t="s">
        <v>12</v>
      </c>
      <c r="H16" t="s">
        <v>18</v>
      </c>
      <c r="J16" t="s">
        <v>14</v>
      </c>
      <c r="K16" t="s">
        <v>14</v>
      </c>
      <c r="L16" t="s">
        <v>6</v>
      </c>
      <c r="M16" s="5" t="s">
        <v>17</v>
      </c>
      <c r="O16" s="4">
        <f>11.57/3</f>
        <v>3.8566666666666669</v>
      </c>
      <c r="P16" s="4">
        <f>F16*O16</f>
        <v>0</v>
      </c>
      <c r="Q16" s="7"/>
    </row>
    <row r="17" spans="2:17" x14ac:dyDescent="0.35">
      <c r="F17" s="2">
        <v>1</v>
      </c>
      <c r="G17" s="9" t="s">
        <v>12</v>
      </c>
      <c r="H17" t="s">
        <v>18</v>
      </c>
      <c r="J17" t="s">
        <v>14</v>
      </c>
      <c r="K17" t="s">
        <v>41</v>
      </c>
      <c r="L17" t="s">
        <v>39</v>
      </c>
      <c r="M17" s="5" t="s">
        <v>40</v>
      </c>
      <c r="O17" s="4">
        <f>4.01/10</f>
        <v>0.40099999999999997</v>
      </c>
      <c r="P17" s="4">
        <f t="shared" ref="P17" si="2">F17*O17</f>
        <v>0.40099999999999997</v>
      </c>
      <c r="Q17" s="7"/>
    </row>
    <row r="19" spans="2:17" x14ac:dyDescent="0.35">
      <c r="B19" s="11" t="s">
        <v>43</v>
      </c>
      <c r="C19" s="11"/>
      <c r="D19" s="11"/>
      <c r="E19" s="11"/>
      <c r="F19" s="12"/>
      <c r="G19" s="13"/>
      <c r="H19" s="14"/>
      <c r="I19" s="14"/>
      <c r="J19" s="14"/>
      <c r="K19" s="14"/>
      <c r="L19" s="14"/>
      <c r="M19" s="14"/>
      <c r="N19" s="14"/>
      <c r="O19" s="15"/>
      <c r="P19" s="14"/>
      <c r="Q19" s="16">
        <f>SUM(P19:P25)</f>
        <v>2.4889999999999999</v>
      </c>
    </row>
    <row r="20" spans="2:17" x14ac:dyDescent="0.35">
      <c r="F20" s="2">
        <v>1</v>
      </c>
      <c r="H20" t="s">
        <v>19</v>
      </c>
      <c r="I20" t="s">
        <v>20</v>
      </c>
      <c r="J20" t="s">
        <v>9</v>
      </c>
      <c r="K20" t="s">
        <v>14</v>
      </c>
      <c r="L20" t="s">
        <v>9</v>
      </c>
      <c r="M20" s="5"/>
      <c r="O20" s="4">
        <f>12.57/15</f>
        <v>0.83799999999999997</v>
      </c>
      <c r="P20" s="4">
        <f t="shared" ref="P20:P24" si="3">F20*O20</f>
        <v>0.83799999999999997</v>
      </c>
      <c r="Q20" s="7"/>
    </row>
    <row r="21" spans="2:17" x14ac:dyDescent="0.35">
      <c r="F21" s="2">
        <v>0</v>
      </c>
      <c r="G21" s="9" t="s">
        <v>12</v>
      </c>
      <c r="H21" t="s">
        <v>18</v>
      </c>
      <c r="J21" t="s">
        <v>14</v>
      </c>
      <c r="K21" t="s">
        <v>14</v>
      </c>
      <c r="L21" t="s">
        <v>6</v>
      </c>
      <c r="M21" s="5" t="s">
        <v>17</v>
      </c>
      <c r="O21" s="4">
        <f>11.57/3</f>
        <v>3.8566666666666669</v>
      </c>
      <c r="P21" s="4">
        <f t="shared" si="3"/>
        <v>0</v>
      </c>
      <c r="Q21" s="7"/>
    </row>
    <row r="22" spans="2:17" x14ac:dyDescent="0.35">
      <c r="F22" s="2">
        <v>1</v>
      </c>
      <c r="G22" s="9" t="s">
        <v>12</v>
      </c>
      <c r="H22" t="s">
        <v>18</v>
      </c>
      <c r="J22" t="s">
        <v>14</v>
      </c>
      <c r="K22" t="s">
        <v>41</v>
      </c>
      <c r="L22" t="s">
        <v>39</v>
      </c>
      <c r="M22" s="5" t="s">
        <v>40</v>
      </c>
      <c r="O22" s="4">
        <f>4.01/10</f>
        <v>0.40099999999999997</v>
      </c>
      <c r="P22" s="4">
        <f t="shared" si="3"/>
        <v>0.40099999999999997</v>
      </c>
      <c r="Q22" s="7"/>
    </row>
    <row r="23" spans="2:17" x14ac:dyDescent="0.35">
      <c r="F23" s="2">
        <v>1</v>
      </c>
      <c r="G23" s="9" t="s">
        <v>11</v>
      </c>
      <c r="H23" t="s">
        <v>26</v>
      </c>
      <c r="J23" t="s">
        <v>34</v>
      </c>
      <c r="K23" t="s">
        <v>33</v>
      </c>
      <c r="L23" t="s">
        <v>32</v>
      </c>
      <c r="M23" s="5" t="s">
        <v>35</v>
      </c>
      <c r="O23" s="4">
        <v>1</v>
      </c>
      <c r="P23" s="4">
        <f t="shared" si="3"/>
        <v>1</v>
      </c>
      <c r="Q23" s="7"/>
    </row>
    <row r="24" spans="2:17" x14ac:dyDescent="0.35">
      <c r="F24" s="2">
        <v>1</v>
      </c>
      <c r="G24" s="9" t="s">
        <v>15</v>
      </c>
      <c r="H24" t="s">
        <v>27</v>
      </c>
      <c r="J24" t="s">
        <v>28</v>
      </c>
      <c r="K24" t="s">
        <v>29</v>
      </c>
      <c r="L24" t="s">
        <v>38</v>
      </c>
      <c r="M24" s="5" t="s">
        <v>30</v>
      </c>
      <c r="O24" s="4">
        <v>0.25</v>
      </c>
      <c r="P24" s="4">
        <f t="shared" si="3"/>
        <v>0.25</v>
      </c>
      <c r="Q24" s="7"/>
    </row>
  </sheetData>
  <hyperlinks>
    <hyperlink ref="M5" r:id="rId1" xr:uid="{9E5B5ADB-265E-4948-A54B-4B63A9FFE2D8}"/>
    <hyperlink ref="M11" r:id="rId2" xr:uid="{5FAA2C26-6769-4F03-B269-BC6327F0D7B5}"/>
    <hyperlink ref="M7" r:id="rId3" xr:uid="{2F1E3E18-7828-4741-B9DB-92601C95B0C1}"/>
    <hyperlink ref="M8" r:id="rId4" xr:uid="{F0F29CC2-074F-4851-928C-AEDFFB7D070D}"/>
    <hyperlink ref="M9" r:id="rId5" xr:uid="{ECE510AB-A461-45DA-A6D8-4BBD4BD86681}"/>
    <hyperlink ref="M10" r:id="rId6" xr:uid="{1B69CD4A-5445-47C3-BEE7-FA61B853C88A}"/>
    <hyperlink ref="M12" r:id="rId7" xr:uid="{4CD86F15-C436-4501-A670-53703AE3525E}"/>
    <hyperlink ref="M16" r:id="rId8" xr:uid="{BC19E846-26B3-452F-AF45-9811F62B4D2D}"/>
    <hyperlink ref="M6" r:id="rId9" xr:uid="{6B989928-34B1-4118-882E-436FB174FCBF}"/>
    <hyperlink ref="M17" r:id="rId10" xr:uid="{EB059D1F-226E-4365-9BAE-CE0353752C3A}"/>
    <hyperlink ref="M21" r:id="rId11" xr:uid="{6457497A-F48E-4697-B563-D96C9CF4F362}"/>
    <hyperlink ref="M24" r:id="rId12" xr:uid="{FC87CA12-649F-4F89-B8C2-A933F12FE96D}"/>
    <hyperlink ref="M23" r:id="rId13" xr:uid="{B571B6B7-4972-4FAD-AA1F-A837BD556153}"/>
    <hyperlink ref="M22" r:id="rId14" xr:uid="{604DC405-5825-4EF1-AAFF-7A173EF5F178}"/>
  </hyperlinks>
  <pageMargins left="0.25" right="0.25" top="0.75" bottom="0.75" header="0.3" footer="0.3"/>
  <pageSetup scale="10" orientation="landscape" horizontalDpi="300" verticalDpi="300" r:id="rId1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 of 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 Wiley</dc:creator>
  <cp:lastModifiedBy>George Wiley</cp:lastModifiedBy>
  <cp:lastPrinted>2025-04-06T18:06:23Z</cp:lastPrinted>
  <dcterms:created xsi:type="dcterms:W3CDTF">2023-08-11T05:23:19Z</dcterms:created>
  <dcterms:modified xsi:type="dcterms:W3CDTF">2026-01-20T21:07:48Z</dcterms:modified>
</cp:coreProperties>
</file>