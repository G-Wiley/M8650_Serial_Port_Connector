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8ee42248ca7e9c/Documents/PDP-8/Add-On Boards/M8650 Serial Port Connector/"/>
    </mc:Choice>
  </mc:AlternateContent>
  <xr:revisionPtr revIDLastSave="265" documentId="8_{291863AF-43BD-4773-AC18-7AD65028538B}" xr6:coauthVersionLast="47" xr6:coauthVersionMax="47" xr10:uidLastSave="{D348ED0F-DB19-4387-93F4-2C1ADE0A43E4}"/>
  <bookViews>
    <workbookView xWindow="790" yWindow="1680" windowWidth="29690" windowHeight="9750" tabRatio="621" xr2:uid="{00C607E4-F5CA-4B88-8F75-FEAFAF39518F}"/>
  </bookViews>
  <sheets>
    <sheet name="Bill of 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" l="1"/>
  <c r="P15" i="1" s="1"/>
  <c r="O14" i="1"/>
  <c r="P14" i="1" s="1"/>
  <c r="P11" i="1"/>
  <c r="O8" i="1"/>
  <c r="O7" i="1"/>
  <c r="O6" i="1"/>
  <c r="O5" i="1"/>
  <c r="P5" i="1" s="1"/>
  <c r="O4" i="1"/>
  <c r="Q13" i="1" l="1"/>
  <c r="P6" i="1" l="1"/>
  <c r="P7" i="1" l="1"/>
  <c r="P10" i="1" l="1"/>
  <c r="P9" i="1"/>
  <c r="P4" i="1"/>
  <c r="P8" i="1"/>
  <c r="Q3" i="1" l="1"/>
</calcChain>
</file>

<file path=xl/sharedStrings.xml><?xml version="1.0" encoding="utf-8"?>
<sst xmlns="http://schemas.openxmlformats.org/spreadsheetml/2006/main" count="68" uniqueCount="40">
  <si>
    <t>Qty</t>
  </si>
  <si>
    <t>Description</t>
  </si>
  <si>
    <t>Supplier</t>
  </si>
  <si>
    <t>Manufacturer's part number</t>
  </si>
  <si>
    <t>cost ea</t>
  </si>
  <si>
    <t>ext cost</t>
  </si>
  <si>
    <t>Amazon</t>
  </si>
  <si>
    <t>Manufacturer</t>
  </si>
  <si>
    <t>Ver</t>
  </si>
  <si>
    <t>JLCPCB</t>
  </si>
  <si>
    <t>Link</t>
  </si>
  <si>
    <t>U1</t>
  </si>
  <si>
    <t>J1</t>
  </si>
  <si>
    <t>J3</t>
  </si>
  <si>
    <t>n/a</t>
  </si>
  <si>
    <t>C2</t>
  </si>
  <si>
    <t>General Purpose Configuration</t>
  </si>
  <si>
    <t>https://www.amazon.com/dp/B07VK75P9L</t>
  </si>
  <si>
    <t>Connector, Dual Row 2x20, socket, right angle</t>
  </si>
  <si>
    <t>PCB, M8650 Serial Port Connector Board</t>
  </si>
  <si>
    <t>v01</t>
  </si>
  <si>
    <t>J2</t>
  </si>
  <si>
    <t>Connector, Header, Single Row 1x4</t>
  </si>
  <si>
    <t>Connector, Header, Single Row 1x3</t>
  </si>
  <si>
    <t>J4, J5</t>
  </si>
  <si>
    <t>Connector, Header, Single Row 1x6</t>
  </si>
  <si>
    <t>IC, RS-232 Receiver, MC1489A</t>
  </si>
  <si>
    <t>Capacitor, Ceramic X7R, 0.1 UF 50V</t>
  </si>
  <si>
    <t>Vishay</t>
  </si>
  <si>
    <t>K104K10X7RF53L2</t>
  </si>
  <si>
    <t>https://www.digikey.com/en/products/detail/vishay-beyschlag-draloric-bc-components/K104K10X7RF53L2/2820500</t>
  </si>
  <si>
    <t>https://www.amazon.com/Straight-Breakaway-Connector-Breadboard-Electronic/dp/B0FRZW75VS</t>
  </si>
  <si>
    <t>Jameco</t>
  </si>
  <si>
    <t>MC1489A/SN75189N</t>
  </si>
  <si>
    <t>OnSemi/TI</t>
  </si>
  <si>
    <t>https://www.jameco.com/webapp/wcs/stores/servlet/ProductDisplay?storeId=10001&amp;langId=-1&amp;catalogId=10001&amp;productId=23181</t>
  </si>
  <si>
    <t>Jumper Cap, 2-pin</t>
  </si>
  <si>
    <t>https://www.amazon.com/dp/B07FKKHHM7</t>
  </si>
  <si>
    <t>Single-Interface-Only Configuration</t>
  </si>
  <si>
    <t>Digikey/Jameco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</si>
</sst>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1"/>
    <xf numFmtId="164" fontId="1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164" fontId="0" fillId="2" borderId="0" xfId="0" applyNumberFormat="1" applyFill="1"/>
    <xf numFmtId="164" fontId="0" fillId="2" borderId="1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p/B07VK75P9L" TargetMode="External"/><Relationship Id="rId3" Type="http://schemas.openxmlformats.org/officeDocument/2006/relationships/hyperlink" Target="https://www.amazon.com/Straight-Breakaway-Connector-Breadboard-Electronic/dp/B0FRZW75VS" TargetMode="External"/><Relationship Id="rId7" Type="http://schemas.openxmlformats.org/officeDocument/2006/relationships/hyperlink" Target="https://www.amazon.com/dp/B07FKKHHM7" TargetMode="External"/><Relationship Id="rId2" Type="http://schemas.openxmlformats.org/officeDocument/2006/relationships/hyperlink" Target="https://www.digikey.com/en/products/detail/vishay-beyschlag-draloric-bc-components/K104K10X7RF53L2/2820500" TargetMode="External"/><Relationship Id="rId1" Type="http://schemas.openxmlformats.org/officeDocument/2006/relationships/hyperlink" Target="https://www.amazon.com/dp/B07VK75P9L" TargetMode="External"/><Relationship Id="rId6" Type="http://schemas.openxmlformats.org/officeDocument/2006/relationships/hyperlink" Target="https://www.jameco.com/webapp/wcs/stores/servlet/ProductDisplay?storeId=10001&amp;langId=-1&amp;catalogId=10001&amp;productId=23181" TargetMode="External"/><Relationship Id="rId5" Type="http://schemas.openxmlformats.org/officeDocument/2006/relationships/hyperlink" Target="https://www.amazon.com/Straight-Breakaway-Connector-Breadboard-Electronic/dp/B0FRZW75VS" TargetMode="External"/><Relationship Id="rId4" Type="http://schemas.openxmlformats.org/officeDocument/2006/relationships/hyperlink" Target="https://www.amazon.com/Straight-Breakaway-Connector-Breadboard-Electronic/dp/B0FRZW75VS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5690-F76C-4733-9A59-A1D3B764B504}">
  <sheetPr>
    <pageSetUpPr fitToPage="1"/>
  </sheetPr>
  <dimension ref="A1:Q16"/>
  <sheetViews>
    <sheetView tabSelected="1" zoomScale="90" zoomScaleNormal="90" workbookViewId="0">
      <selection activeCell="B14" sqref="B14"/>
    </sheetView>
  </sheetViews>
  <sheetFormatPr defaultRowHeight="14.5" x14ac:dyDescent="0.35"/>
  <cols>
    <col min="1" max="1" width="6.6328125" style="1" customWidth="1"/>
    <col min="2" max="4" width="4.54296875" style="1" customWidth="1"/>
    <col min="5" max="5" width="2.54296875" style="1" customWidth="1"/>
    <col min="6" max="6" width="5.54296875" style="2" customWidth="1"/>
    <col min="7" max="7" width="14.6328125" style="10" customWidth="1"/>
    <col min="8" max="8" width="61.54296875" bestFit="1" customWidth="1"/>
    <col min="9" max="9" width="4.54296875" customWidth="1"/>
    <col min="10" max="10" width="19.1796875" customWidth="1"/>
    <col min="11" max="11" width="25.54296875" customWidth="1"/>
    <col min="12" max="12" width="15.54296875" customWidth="1"/>
    <col min="13" max="13" width="87.453125" customWidth="1"/>
    <col min="14" max="14" width="1.90625" bestFit="1" customWidth="1"/>
    <col min="15" max="15" width="9.54296875" style="4" customWidth="1"/>
    <col min="16" max="17" width="9.54296875" customWidth="1"/>
    <col min="19" max="19" width="9.7265625" bestFit="1" customWidth="1"/>
    <col min="21" max="21" width="11.1796875" bestFit="1" customWidth="1"/>
    <col min="22" max="23" width="11.6328125" bestFit="1" customWidth="1"/>
  </cols>
  <sheetData>
    <row r="1" spans="2:17" x14ac:dyDescent="0.35">
      <c r="F1" s="3" t="s">
        <v>0</v>
      </c>
      <c r="G1" s="11"/>
      <c r="H1" s="1" t="s">
        <v>1</v>
      </c>
      <c r="I1" s="1" t="s">
        <v>8</v>
      </c>
      <c r="J1" s="1" t="s">
        <v>7</v>
      </c>
      <c r="K1" s="1" t="s">
        <v>3</v>
      </c>
      <c r="L1" s="1" t="s">
        <v>2</v>
      </c>
      <c r="M1" s="1" t="s">
        <v>10</v>
      </c>
      <c r="N1" s="1"/>
      <c r="O1" s="6" t="s">
        <v>4</v>
      </c>
      <c r="P1" s="3" t="s">
        <v>5</v>
      </c>
    </row>
    <row r="2" spans="2:17" x14ac:dyDescent="0.35">
      <c r="P2" s="9"/>
      <c r="Q2" s="4"/>
    </row>
    <row r="3" spans="2:17" x14ac:dyDescent="0.35">
      <c r="B3" s="12" t="s">
        <v>16</v>
      </c>
      <c r="C3" s="12"/>
      <c r="D3" s="12"/>
      <c r="E3" s="12"/>
      <c r="F3" s="13"/>
      <c r="G3" s="14"/>
      <c r="H3" s="15"/>
      <c r="I3" s="15"/>
      <c r="J3" s="15"/>
      <c r="K3" s="15"/>
      <c r="L3" s="15"/>
      <c r="M3" s="15"/>
      <c r="N3" s="15"/>
      <c r="O3" s="16"/>
      <c r="P3" s="15"/>
      <c r="Q3" s="17">
        <f>SUM(P3:P12)</f>
        <v>6.0954791666666663</v>
      </c>
    </row>
    <row r="4" spans="2:17" x14ac:dyDescent="0.35">
      <c r="F4" s="2">
        <v>1</v>
      </c>
      <c r="H4" t="s">
        <v>19</v>
      </c>
      <c r="I4" t="s">
        <v>20</v>
      </c>
      <c r="J4" t="s">
        <v>9</v>
      </c>
      <c r="K4" t="s">
        <v>14</v>
      </c>
      <c r="L4" t="s">
        <v>9</v>
      </c>
      <c r="M4" s="5"/>
      <c r="O4" s="4">
        <f>12.57/15</f>
        <v>0.83799999999999997</v>
      </c>
      <c r="P4" s="4">
        <f>F4*O4</f>
        <v>0.83799999999999997</v>
      </c>
      <c r="Q4" s="8"/>
    </row>
    <row r="5" spans="2:17" x14ac:dyDescent="0.35">
      <c r="F5" s="2">
        <v>1</v>
      </c>
      <c r="G5" s="10" t="s">
        <v>12</v>
      </c>
      <c r="H5" t="s">
        <v>18</v>
      </c>
      <c r="J5" t="s">
        <v>14</v>
      </c>
      <c r="K5" t="s">
        <v>14</v>
      </c>
      <c r="L5" t="s">
        <v>6</v>
      </c>
      <c r="M5" s="5" t="s">
        <v>17</v>
      </c>
      <c r="O5" s="4">
        <f>11.57/3</f>
        <v>3.8566666666666669</v>
      </c>
      <c r="P5" s="4">
        <f>F5*O5</f>
        <v>3.8566666666666669</v>
      </c>
      <c r="Q5" s="8"/>
    </row>
    <row r="6" spans="2:17" x14ac:dyDescent="0.35">
      <c r="F6" s="2">
        <v>1</v>
      </c>
      <c r="G6" s="10" t="s">
        <v>21</v>
      </c>
      <c r="H6" t="s">
        <v>22</v>
      </c>
      <c r="J6" t="s">
        <v>14</v>
      </c>
      <c r="K6" t="s">
        <v>14</v>
      </c>
      <c r="L6" t="s">
        <v>6</v>
      </c>
      <c r="M6" s="5" t="s">
        <v>31</v>
      </c>
      <c r="O6" s="4">
        <f>4*6.35/800</f>
        <v>3.175E-2</v>
      </c>
      <c r="P6" s="4">
        <f>F6*O6</f>
        <v>3.175E-2</v>
      </c>
      <c r="Q6" s="8"/>
    </row>
    <row r="7" spans="2:17" x14ac:dyDescent="0.35">
      <c r="F7" s="2">
        <v>1</v>
      </c>
      <c r="G7" s="10" t="s">
        <v>13</v>
      </c>
      <c r="H7" t="s">
        <v>23</v>
      </c>
      <c r="J7" t="s">
        <v>14</v>
      </c>
      <c r="K7" t="s">
        <v>14</v>
      </c>
      <c r="L7" t="s">
        <v>6</v>
      </c>
      <c r="M7" s="5" t="s">
        <v>31</v>
      </c>
      <c r="O7" s="4">
        <f>3*6.35/800</f>
        <v>2.3812499999999997E-2</v>
      </c>
      <c r="P7" s="4">
        <f>F7*O7</f>
        <v>2.3812499999999997E-2</v>
      </c>
      <c r="Q7" s="8"/>
    </row>
    <row r="8" spans="2:17" x14ac:dyDescent="0.35">
      <c r="F8" s="2">
        <v>2</v>
      </c>
      <c r="G8" s="10" t="s">
        <v>24</v>
      </c>
      <c r="H8" t="s">
        <v>25</v>
      </c>
      <c r="J8" t="s">
        <v>14</v>
      </c>
      <c r="K8" t="s">
        <v>14</v>
      </c>
      <c r="L8" t="s">
        <v>6</v>
      </c>
      <c r="M8" s="5" t="s">
        <v>31</v>
      </c>
      <c r="O8" s="4">
        <f>6*6.35/800</f>
        <v>4.7624999999999994E-2</v>
      </c>
      <c r="P8" s="4">
        <f>F8*O8</f>
        <v>9.5249999999999987E-2</v>
      </c>
      <c r="Q8" s="8"/>
    </row>
    <row r="9" spans="2:17" x14ac:dyDescent="0.35">
      <c r="F9" s="2">
        <v>1</v>
      </c>
      <c r="G9" s="10" t="s">
        <v>11</v>
      </c>
      <c r="H9" t="s">
        <v>26</v>
      </c>
      <c r="J9" t="s">
        <v>34</v>
      </c>
      <c r="K9" t="s">
        <v>33</v>
      </c>
      <c r="L9" t="s">
        <v>32</v>
      </c>
      <c r="M9" s="5" t="s">
        <v>35</v>
      </c>
      <c r="O9" s="4">
        <v>1</v>
      </c>
      <c r="P9" s="4">
        <f>F9*O9</f>
        <v>1</v>
      </c>
      <c r="Q9" s="8"/>
    </row>
    <row r="10" spans="2:17" x14ac:dyDescent="0.35">
      <c r="F10" s="2">
        <v>1</v>
      </c>
      <c r="G10" s="10" t="s">
        <v>15</v>
      </c>
      <c r="H10" t="s">
        <v>27</v>
      </c>
      <c r="J10" t="s">
        <v>28</v>
      </c>
      <c r="K10" t="s">
        <v>29</v>
      </c>
      <c r="L10" t="s">
        <v>39</v>
      </c>
      <c r="M10" s="5" t="s">
        <v>30</v>
      </c>
      <c r="O10" s="4">
        <v>0.25</v>
      </c>
      <c r="P10" s="4">
        <f>F10*O10</f>
        <v>0.25</v>
      </c>
      <c r="Q10" s="8"/>
    </row>
    <row r="11" spans="2:17" x14ac:dyDescent="0.35">
      <c r="F11" s="2">
        <v>1</v>
      </c>
      <c r="H11" t="s">
        <v>36</v>
      </c>
      <c r="J11" t="s">
        <v>14</v>
      </c>
      <c r="K11" t="s">
        <v>14</v>
      </c>
      <c r="L11" t="s">
        <v>6</v>
      </c>
      <c r="M11" s="5" t="s">
        <v>37</v>
      </c>
      <c r="O11" s="4">
        <v>0</v>
      </c>
      <c r="P11" s="4">
        <f>F11*O11</f>
        <v>0</v>
      </c>
      <c r="Q11" s="8"/>
    </row>
    <row r="12" spans="2:17" x14ac:dyDescent="0.35">
      <c r="Q12" s="8"/>
    </row>
    <row r="13" spans="2:17" x14ac:dyDescent="0.35">
      <c r="B13" s="12" t="s">
        <v>38</v>
      </c>
      <c r="C13" s="12"/>
      <c r="D13" s="12"/>
      <c r="E13" s="12"/>
      <c r="F13" s="13"/>
      <c r="G13" s="14"/>
      <c r="H13" s="15"/>
      <c r="I13" s="15"/>
      <c r="J13" s="15"/>
      <c r="K13" s="15"/>
      <c r="L13" s="15"/>
      <c r="M13" s="15"/>
      <c r="N13" s="15"/>
      <c r="O13" s="16"/>
      <c r="P13" s="15"/>
      <c r="Q13" s="17">
        <f>SUM(P13:P15)</f>
        <v>4.6946666666666665</v>
      </c>
    </row>
    <row r="14" spans="2:17" x14ac:dyDescent="0.35">
      <c r="F14" s="2">
        <v>1</v>
      </c>
      <c r="H14" t="s">
        <v>19</v>
      </c>
      <c r="I14" t="s">
        <v>20</v>
      </c>
      <c r="J14" t="s">
        <v>9</v>
      </c>
      <c r="K14" t="s">
        <v>14</v>
      </c>
      <c r="L14" t="s">
        <v>9</v>
      </c>
      <c r="M14" s="5"/>
      <c r="O14" s="4">
        <f>12.57/15</f>
        <v>0.83799999999999997</v>
      </c>
      <c r="P14" s="4">
        <f>F14*O14</f>
        <v>0.83799999999999997</v>
      </c>
      <c r="Q14" s="8"/>
    </row>
    <row r="15" spans="2:17" x14ac:dyDescent="0.35">
      <c r="F15" s="2">
        <v>1</v>
      </c>
      <c r="G15" s="10" t="s">
        <v>12</v>
      </c>
      <c r="H15" t="s">
        <v>18</v>
      </c>
      <c r="J15" t="s">
        <v>14</v>
      </c>
      <c r="K15" t="s">
        <v>14</v>
      </c>
      <c r="L15" t="s">
        <v>6</v>
      </c>
      <c r="M15" s="5" t="s">
        <v>17</v>
      </c>
      <c r="O15" s="4">
        <f>11.57/3</f>
        <v>3.8566666666666669</v>
      </c>
      <c r="P15" s="4">
        <f>F15*O15</f>
        <v>3.8566666666666669</v>
      </c>
      <c r="Q15" s="8"/>
    </row>
    <row r="16" spans="2:17" x14ac:dyDescent="0.35">
      <c r="J16" s="7"/>
      <c r="M16" s="5"/>
      <c r="N16" s="5"/>
      <c r="P16" s="4"/>
      <c r="Q16" s="8"/>
    </row>
  </sheetData>
  <hyperlinks>
    <hyperlink ref="M5" r:id="rId1" xr:uid="{9E5B5ADB-265E-4948-A54B-4B63A9FFE2D8}"/>
    <hyperlink ref="M10" r:id="rId2" xr:uid="{5FAA2C26-6769-4F03-B269-BC6327F0D7B5}"/>
    <hyperlink ref="M6" r:id="rId3" xr:uid="{2F1E3E18-7828-4741-B9DB-92601C95B0C1}"/>
    <hyperlink ref="M7" r:id="rId4" xr:uid="{F0F29CC2-074F-4851-928C-AEDFFB7D070D}"/>
    <hyperlink ref="M8" r:id="rId5" xr:uid="{ECE510AB-A461-45DA-A6D8-4BBD4BD86681}"/>
    <hyperlink ref="M9" r:id="rId6" xr:uid="{1B69CD4A-5445-47C3-BEE7-FA61B853C88A}"/>
    <hyperlink ref="M11" r:id="rId7" xr:uid="{4CD86F15-C436-4501-A670-53703AE3525E}"/>
    <hyperlink ref="M15" r:id="rId8" xr:uid="{BC19E846-26B3-452F-AF45-9811F62B4D2D}"/>
  </hyperlinks>
  <pageMargins left="0.25" right="0.25" top="0.75" bottom="0.75" header="0.3" footer="0.3"/>
  <pageSetup scale="10" orientation="landscape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Wiley</dc:creator>
  <cp:lastModifiedBy>George Wiley</cp:lastModifiedBy>
  <cp:lastPrinted>2025-04-06T18:06:23Z</cp:lastPrinted>
  <dcterms:created xsi:type="dcterms:W3CDTF">2023-08-11T05:23:19Z</dcterms:created>
  <dcterms:modified xsi:type="dcterms:W3CDTF">2026-01-20T20:00:42Z</dcterms:modified>
</cp:coreProperties>
</file>